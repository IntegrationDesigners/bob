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SA\cve\"/>
    </mc:Choice>
  </mc:AlternateContent>
  <xr:revisionPtr revIDLastSave="0" documentId="13_ncr:1_{316E1B34-D4BC-4428-8FB7-1046A45DDCBC}" xr6:coauthVersionLast="47" xr6:coauthVersionMax="47" xr10:uidLastSave="{00000000-0000-0000-0000-000000000000}"/>
  <bookViews>
    <workbookView xWindow="62295" yWindow="0" windowWidth="19410" windowHeight="20985" xr2:uid="{E47D6725-BB51-4D5F-BDD3-058B7CAD0B32}"/>
  </bookViews>
  <sheets>
    <sheet name="CVSS3 Vector calculation" sheetId="1" r:id="rId1"/>
    <sheet name="CVSS4 Vector calculation" sheetId="3" r:id="rId2"/>
    <sheet name="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0" i="3"/>
  <c r="D20" i="3" s="1"/>
  <c r="C21" i="3"/>
  <c r="D21" i="3" s="1"/>
  <c r="C19" i="3"/>
  <c r="D19" i="3" s="1"/>
  <c r="C18" i="3"/>
  <c r="D18" i="3" s="1"/>
  <c r="C19" i="1"/>
  <c r="D19" i="1" s="1"/>
  <c r="C22" i="1"/>
  <c r="D22" i="1" s="1"/>
  <c r="C23" i="1"/>
  <c r="D23" i="1" s="1"/>
  <c r="C21" i="1"/>
  <c r="D21" i="1" s="1"/>
  <c r="C17" i="1"/>
  <c r="D17" i="1" s="1"/>
  <c r="C20" i="1"/>
  <c r="D20" i="1" s="1"/>
  <c r="C16" i="1"/>
  <c r="D16" i="1" s="1"/>
</calcChain>
</file>

<file path=xl/sharedStrings.xml><?xml version="1.0" encoding="utf-8"?>
<sst xmlns="http://schemas.openxmlformats.org/spreadsheetml/2006/main" count="230" uniqueCount="84">
  <si>
    <t>AV</t>
  </si>
  <si>
    <t>L</t>
  </si>
  <si>
    <t>A</t>
  </si>
  <si>
    <t>N</t>
  </si>
  <si>
    <t>AC</t>
  </si>
  <si>
    <t>H</t>
  </si>
  <si>
    <t>M</t>
  </si>
  <si>
    <t>PR</t>
  </si>
  <si>
    <t>UI</t>
  </si>
  <si>
    <t>R</t>
  </si>
  <si>
    <t>S</t>
  </si>
  <si>
    <t>U</t>
  </si>
  <si>
    <t>C</t>
  </si>
  <si>
    <t>I</t>
  </si>
  <si>
    <t>Vector value</t>
  </si>
  <si>
    <t>Display value</t>
  </si>
  <si>
    <t>Metrics</t>
  </si>
  <si>
    <t>Name</t>
  </si>
  <si>
    <t>Value</t>
  </si>
  <si>
    <t>Base</t>
  </si>
  <si>
    <t>Local (L)</t>
  </si>
  <si>
    <t>Adjacent Network (A)</t>
  </si>
  <si>
    <t>Network (N)</t>
  </si>
  <si>
    <t>High (H)</t>
  </si>
  <si>
    <t>Medium (M)</t>
  </si>
  <si>
    <t>Low (L)</t>
  </si>
  <si>
    <t>None (N)</t>
  </si>
  <si>
    <t>Required (R)</t>
  </si>
  <si>
    <t>Scope</t>
  </si>
  <si>
    <t>Unchanged (U)</t>
  </si>
  <si>
    <t>Changed (C)</t>
  </si>
  <si>
    <t>Impact</t>
  </si>
  <si>
    <t>Graph value</t>
  </si>
  <si>
    <t>Reference Table</t>
  </si>
  <si>
    <t>CVEID</t>
  </si>
  <si>
    <t>Generated graph (screenshot and add to presentation)</t>
  </si>
  <si>
    <t>CVSS Vector</t>
  </si>
  <si>
    <t>Fill in "CVSS Vector field" and "CVEID" field</t>
  </si>
  <si>
    <t>AV (access vector)</t>
  </si>
  <si>
    <t>AC (access complexity)</t>
  </si>
  <si>
    <t>PR (privileges required)</t>
  </si>
  <si>
    <t>UI (user interaction)</t>
  </si>
  <si>
    <t>S (scope)</t>
  </si>
  <si>
    <t>C (confidentiality)</t>
  </si>
  <si>
    <t>I (integrity)</t>
  </si>
  <si>
    <t>A (availability)</t>
  </si>
  <si>
    <t>AT</t>
  </si>
  <si>
    <t>VC</t>
  </si>
  <si>
    <t>VI</t>
  </si>
  <si>
    <t>VA</t>
  </si>
  <si>
    <t>SC</t>
  </si>
  <si>
    <t>SI</t>
  </si>
  <si>
    <t>SA</t>
  </si>
  <si>
    <t>E</t>
  </si>
  <si>
    <t>CVSS 3</t>
  </si>
  <si>
    <t>CVSS 4</t>
  </si>
  <si>
    <t>Vector Name</t>
  </si>
  <si>
    <t>Vector Value</t>
  </si>
  <si>
    <t>Display Value</t>
  </si>
  <si>
    <t>P</t>
  </si>
  <si>
    <t>F</t>
  </si>
  <si>
    <t>X</t>
  </si>
  <si>
    <t>AV (Attack Vector)</t>
  </si>
  <si>
    <t>Physical (P), Local (L), Adjacent (A), Network (N)</t>
  </si>
  <si>
    <t>AC (Attack Complexity)</t>
  </si>
  <si>
    <t>High (H), Low (L)</t>
  </si>
  <si>
    <t>AT (Attack Requirements)</t>
  </si>
  <si>
    <t>Present (P), None (N)</t>
  </si>
  <si>
    <t>PR (Privileges Required)</t>
  </si>
  <si>
    <t>High (H), Low (L), None (N)</t>
  </si>
  <si>
    <t>UI (User Interaction)</t>
  </si>
  <si>
    <t>Active (A), Passive (P), None (N)</t>
  </si>
  <si>
    <t>VC (Vulnerable System Confidentiality Impact)</t>
  </si>
  <si>
    <t>None (N), Low (L), High (H)</t>
  </si>
  <si>
    <t>VI (Vulnerable System Integrity Impact)</t>
  </si>
  <si>
    <t>VA (Vulnerable System Availability Impact)</t>
  </si>
  <si>
    <t>Subsequent Impact</t>
  </si>
  <si>
    <t>SC (Subsequent System Confidentiality Impact)</t>
  </si>
  <si>
    <t>SI (Subsequent System Integrity Impact)</t>
  </si>
  <si>
    <t>SA (Subsequent System Availability Impact)</t>
  </si>
  <si>
    <t>CVSS:4.0/AV:N/AC:L/AT:N/PR:N/UI:N/VC:N/VI:N/VA:H/SC:N/SI:N/SA:N</t>
  </si>
  <si>
    <t>CVE-2026-3505</t>
  </si>
  <si>
    <t>CVE-2026-22018</t>
  </si>
  <si>
    <t>CVSS:3.1/AV:N/AC:H/PR:N/UI:N/S:U/C:N/I:N/A:L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</si>
</sst>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23232"/>
      <name val="IBM Plex Sans"/>
      <family val="2"/>
    </font>
    <font>
      <sz val="10"/>
      <color rgb="FF272A2A"/>
      <name val="Raleway"/>
    </font>
    <font>
      <u/>
      <sz val="20"/>
      <color rgb="FF272A2A"/>
      <name val="Raleway"/>
    </font>
    <font>
      <sz val="9"/>
      <color rgb="FF272A2A"/>
      <name val="Raleway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darkUp">
        <bgColor theme="4" tint="0.79995117038483843"/>
      </patternFill>
    </fill>
    <fill>
      <patternFill patternType="darkUp">
        <bgColor theme="0" tint="-0.149967955565050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8">
    <xf numFmtId="0" fontId="0" fillId="0" borderId="0" xfId="0"/>
    <xf numFmtId="0" fontId="1" fillId="3" borderId="1" xfId="2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6" xfId="2" applyBorder="1" applyAlignment="1">
      <alignment horizontal="center" vertical="center" wrapText="1"/>
    </xf>
    <xf numFmtId="0" fontId="1" fillId="3" borderId="4" xfId="2" applyBorder="1" applyAlignment="1">
      <alignment horizontal="center" vertical="center" wrapText="1"/>
    </xf>
    <xf numFmtId="0" fontId="1" fillId="3" borderId="9" xfId="2" applyBorder="1" applyAlignment="1">
      <alignment horizontal="center" vertical="center"/>
    </xf>
    <xf numFmtId="0" fontId="1" fillId="3" borderId="0" xfId="2" applyAlignment="1">
      <alignment horizontal="center" vertical="center" wrapText="1"/>
    </xf>
    <xf numFmtId="0" fontId="1" fillId="3" borderId="7" xfId="2" applyBorder="1" applyAlignment="1">
      <alignment horizontal="center" vertical="center" wrapText="1"/>
    </xf>
    <xf numFmtId="0" fontId="1" fillId="3" borderId="5" xfId="2" applyBorder="1" applyAlignment="1">
      <alignment horizontal="center" vertical="center" textRotation="90"/>
    </xf>
    <xf numFmtId="0" fontId="1" fillId="3" borderId="3" xfId="2" applyBorder="1" applyAlignment="1">
      <alignment horizontal="center" vertical="center"/>
    </xf>
    <xf numFmtId="0" fontId="1" fillId="3" borderId="8" xfId="2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3" fillId="3" borderId="1" xfId="2" applyFont="1" applyBorder="1" applyAlignment="1">
      <alignment horizontal="center"/>
    </xf>
    <xf numFmtId="0" fontId="3" fillId="3" borderId="1" xfId="2" applyFont="1" applyBorder="1" applyAlignment="1">
      <alignment horizontal="center" vertical="center"/>
    </xf>
    <xf numFmtId="0" fontId="1" fillId="4" borderId="1" xfId="2" applyFill="1" applyBorder="1"/>
    <xf numFmtId="0" fontId="1" fillId="5" borderId="7" xfId="2" applyFill="1" applyBorder="1" applyAlignment="1">
      <alignment horizontal="center" vertical="center"/>
    </xf>
    <xf numFmtId="0" fontId="1" fillId="5" borderId="4" xfId="2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2" applyBorder="1" applyAlignment="1">
      <alignment horizontal="center" vertical="center" wrapText="1"/>
    </xf>
    <xf numFmtId="0" fontId="2" fillId="2" borderId="0" xfId="1" applyBorder="1" applyAlignment="1">
      <alignment horizontal="center"/>
    </xf>
    <xf numFmtId="0" fontId="1" fillId="3" borderId="1" xfId="2" applyBorder="1" applyAlignment="1">
      <alignment horizontal="center" vertical="center" textRotation="90" wrapText="1"/>
    </xf>
    <xf numFmtId="0" fontId="1" fillId="3" borderId="1" xfId="2" applyBorder="1" applyAlignment="1">
      <alignment horizontal="center" vertical="center" wrapText="1"/>
    </xf>
    <xf numFmtId="0" fontId="2" fillId="2" borderId="8" xfId="1" applyBorder="1" applyAlignment="1">
      <alignment horizontal="center"/>
    </xf>
    <xf numFmtId="0" fontId="1" fillId="3" borderId="5" xfId="2" applyBorder="1" applyAlignment="1">
      <alignment horizontal="center" vertical="center" textRotation="90"/>
    </xf>
    <xf numFmtId="0" fontId="1" fillId="3" borderId="9" xfId="2" applyBorder="1" applyAlignment="1">
      <alignment horizontal="center" vertical="center" textRotation="90"/>
    </xf>
    <xf numFmtId="0" fontId="1" fillId="3" borderId="3" xfId="2" applyBorder="1" applyAlignment="1">
      <alignment horizontal="center" vertical="center" textRotation="90"/>
    </xf>
    <xf numFmtId="0" fontId="6" fillId="0" borderId="0" xfId="0" applyFont="1" applyAlignment="1">
      <alignment horizontal="left" vertical="center" readingOrder="1"/>
    </xf>
    <xf numFmtId="0" fontId="5" fillId="0" borderId="0" xfId="0" applyFont="1"/>
    <xf numFmtId="0" fontId="7" fillId="0" borderId="0" xfId="0" applyFont="1" applyAlignment="1">
      <alignment horizontal="left" vertical="center" readingOrder="1"/>
    </xf>
  </cellXfs>
  <cellStyles count="3">
    <cellStyle name="20% - Accent1" xfId="2" builtinId="30"/>
    <cellStyle name="Good" xfId="1" builtinId="26"/>
    <cellStyle name="Normal" xfId="0" builtinId="0"/>
  </cellStyles>
  <dxfs count="10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'CVSS3 Vector calculation'!$C$24</c:f>
          <c:strCache>
            <c:ptCount val="1"/>
            <c:pt idx="0">
              <c:v>CVE-2026-22018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0.152889165761419"/>
          <c:y val="0.13158118955821285"/>
          <c:w val="0.67342894167476408"/>
          <c:h val="0.79877210276915289"/>
        </c:manualLayout>
      </c:layout>
      <c:radarChart>
        <c:radarStyle val="marker"/>
        <c:varyColors val="0"/>
        <c:ser>
          <c:idx val="0"/>
          <c:order val="0"/>
          <c:tx>
            <c:strRef>
              <c:f>'CVSS3 Vector calculation'!$D$15</c:f>
              <c:strCache>
                <c:ptCount val="1"/>
                <c:pt idx="0">
                  <c:v>Graph value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'CVSS3 Vector calculation'!$B$16:$B$23</c:f>
              <c:strCache>
                <c:ptCount val="8"/>
                <c:pt idx="0">
                  <c:v>AV</c:v>
                </c:pt>
                <c:pt idx="1">
                  <c:v>AC</c:v>
                </c:pt>
                <c:pt idx="2">
                  <c:v>PR</c:v>
                </c:pt>
                <c:pt idx="3">
                  <c:v>UI</c:v>
                </c:pt>
                <c:pt idx="4">
                  <c:v>S</c:v>
                </c:pt>
                <c:pt idx="5">
                  <c:v>C</c:v>
                </c:pt>
                <c:pt idx="6">
                  <c:v>I</c:v>
                </c:pt>
                <c:pt idx="7">
                  <c:v>A</c:v>
                </c:pt>
              </c:strCache>
            </c:strRef>
          </c:cat>
          <c:val>
            <c:numRef>
              <c:f>'CVSS3 Vector calculation'!$D$16:$D$23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3-40CB-B8DA-A680CF81C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601648"/>
        <c:axId val="648602064"/>
      </c:radarChart>
      <c:catAx>
        <c:axId val="6486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8602064"/>
        <c:crosses val="autoZero"/>
        <c:auto val="1"/>
        <c:lblAlgn val="ctr"/>
        <c:lblOffset val="100"/>
        <c:noMultiLvlLbl val="0"/>
      </c:catAx>
      <c:valAx>
        <c:axId val="648602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860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'CVSS4 Vector calculation'!$C$30</c:f>
          <c:strCache>
            <c:ptCount val="1"/>
            <c:pt idx="0">
              <c:v>CVE-2026-3505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0.152889165761419"/>
          <c:y val="0.13158118955821285"/>
          <c:w val="0.67342894167476408"/>
          <c:h val="0.79877210276915289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'CVSS4 Vector calculation'!$B$18:$B$29</c:f>
              <c:strCache>
                <c:ptCount val="12"/>
                <c:pt idx="0">
                  <c:v>AV</c:v>
                </c:pt>
                <c:pt idx="1">
                  <c:v>AC</c:v>
                </c:pt>
                <c:pt idx="2">
                  <c:v>AT</c:v>
                </c:pt>
                <c:pt idx="3">
                  <c:v>PR</c:v>
                </c:pt>
                <c:pt idx="4">
                  <c:v>UI</c:v>
                </c:pt>
                <c:pt idx="5">
                  <c:v>VC</c:v>
                </c:pt>
                <c:pt idx="6">
                  <c:v>VI</c:v>
                </c:pt>
                <c:pt idx="7">
                  <c:v>VA</c:v>
                </c:pt>
                <c:pt idx="8">
                  <c:v>SC</c:v>
                </c:pt>
                <c:pt idx="9">
                  <c:v>SI</c:v>
                </c:pt>
                <c:pt idx="10">
                  <c:v>SA</c:v>
                </c:pt>
                <c:pt idx="11">
                  <c:v>E</c:v>
                </c:pt>
              </c:strCache>
            </c:strRef>
          </c:cat>
          <c:val>
            <c:numRef>
              <c:f>'CVSS4 Vector calculation'!$D$18:$D$29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51C-AC11-BFCC9787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601648"/>
        <c:axId val="648602064"/>
      </c:radarChart>
      <c:catAx>
        <c:axId val="6486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8602064"/>
        <c:crosses val="autoZero"/>
        <c:auto val="1"/>
        <c:lblAlgn val="ctr"/>
        <c:lblOffset val="100"/>
        <c:noMultiLvlLbl val="0"/>
      </c:catAx>
      <c:valAx>
        <c:axId val="648602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860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27</xdr:row>
      <xdr:rowOff>166686</xdr:rowOff>
    </xdr:from>
    <xdr:to>
      <xdr:col>4</xdr:col>
      <xdr:colOff>161924</xdr:colOff>
      <xdr:row>49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D89E0-121B-EEBA-9404-5F57250C5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393073</xdr:colOff>
      <xdr:row>35</xdr:row>
      <xdr:rowOff>45907</xdr:rowOff>
    </xdr:from>
    <xdr:ext cx="264560" cy="45435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D791D5-89ED-0CB7-0827-878A8B0D00C0}"/>
            </a:ext>
          </a:extLst>
        </xdr:cNvPr>
        <xdr:cNvSpPr txBox="1"/>
      </xdr:nvSpPr>
      <xdr:spPr>
        <a:xfrm rot="3994701">
          <a:off x="3901110" y="7048501"/>
          <a:ext cx="4543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Base</a:t>
          </a:r>
        </a:p>
      </xdr:txBody>
    </xdr:sp>
    <xdr:clientData/>
  </xdr:oneCellAnchor>
  <xdr:oneCellAnchor>
    <xdr:from>
      <xdr:col>2</xdr:col>
      <xdr:colOff>372422</xdr:colOff>
      <xdr:row>46</xdr:row>
      <xdr:rowOff>86138</xdr:rowOff>
    </xdr:from>
    <xdr:ext cx="52783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670E4-533B-4D8F-AC7B-7294D2CB59D4}"/>
            </a:ext>
          </a:extLst>
        </xdr:cNvPr>
        <xdr:cNvSpPr txBox="1"/>
      </xdr:nvSpPr>
      <xdr:spPr>
        <a:xfrm rot="10800000">
          <a:off x="2559031" y="9089334"/>
          <a:ext cx="5278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Scope</a:t>
          </a:r>
        </a:p>
      </xdr:txBody>
    </xdr:sp>
    <xdr:clientData/>
  </xdr:oneCellAnchor>
  <xdr:oneCellAnchor>
    <xdr:from>
      <xdr:col>1</xdr:col>
      <xdr:colOff>731007</xdr:colOff>
      <xdr:row>37</xdr:row>
      <xdr:rowOff>146357</xdr:rowOff>
    </xdr:from>
    <xdr:ext cx="264560" cy="58144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AB4E28-35B4-4843-946B-7CB1F573C23D}"/>
            </a:ext>
          </a:extLst>
        </xdr:cNvPr>
        <xdr:cNvSpPr txBox="1"/>
      </xdr:nvSpPr>
      <xdr:spPr>
        <a:xfrm rot="16200000">
          <a:off x="1086088" y="7593494"/>
          <a:ext cx="5814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Impact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0.35416</cdr:x>
      <cdr:y>0.12896</cdr:y>
    </cdr:from>
    <cdr:to>
      <cdr:x>0.8169</cdr:x>
      <cdr:y>0.87081</cdr:y>
    </cdr:to>
    <cdr:sp macro="" textlink="">
      <cdr:nvSpPr>
        <cdr:cNvPr id="3" name="Freeform: Shape 2">
          <a:extLst xmlns:a="http://schemas.openxmlformats.org/drawingml/2006/main">
            <a:ext uri="{FF2B5EF4-FFF2-40B4-BE49-F238E27FC236}">
              <a16:creationId xmlns:a16="http://schemas.microsoft.com/office/drawing/2014/main" id="{D340745A-2D30-3C7C-91CB-4E4B62070C5F}"/>
            </a:ext>
          </a:extLst>
        </cdr:cNvPr>
        <cdr:cNvSpPr/>
      </cdr:nvSpPr>
      <cdr:spPr>
        <a:xfrm xmlns:a="http://schemas.openxmlformats.org/drawingml/2006/main">
          <a:off x="1731555" y="531242"/>
          <a:ext cx="2262473" cy="3056107"/>
        </a:xfrm>
        <a:custGeom xmlns:a="http://schemas.openxmlformats.org/drawingml/2006/main">
          <a:avLst/>
          <a:gdLst>
            <a:gd name="connsiteX0" fmla="*/ 0 w 2261680"/>
            <a:gd name="connsiteY0" fmla="*/ 255351 h 3056107"/>
            <a:gd name="connsiteX1" fmla="*/ 620138 w 2261680"/>
            <a:gd name="connsiteY1" fmla="*/ 0 h 3056107"/>
            <a:gd name="connsiteX2" fmla="*/ 1787457 w 2261680"/>
            <a:gd name="connsiteY2" fmla="*/ 490437 h 3056107"/>
            <a:gd name="connsiteX3" fmla="*/ 2261680 w 2261680"/>
            <a:gd name="connsiteY3" fmla="*/ 1653703 h 3056107"/>
            <a:gd name="connsiteX4" fmla="*/ 1783404 w 2261680"/>
            <a:gd name="connsiteY4" fmla="*/ 2812915 h 3056107"/>
            <a:gd name="connsiteX5" fmla="*/ 1187585 w 2261680"/>
            <a:gd name="connsiteY5" fmla="*/ 3056107 h 3056107"/>
            <a:gd name="connsiteX6" fmla="*/ 620138 w 2261680"/>
            <a:gd name="connsiteY6" fmla="*/ 1673969 h 3056107"/>
            <a:gd name="connsiteX7" fmla="*/ 0 w 2261680"/>
            <a:gd name="connsiteY7" fmla="*/ 255351 h 30561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261680" h="3056107">
              <a:moveTo>
                <a:pt x="0" y="255351"/>
              </a:moveTo>
              <a:lnTo>
                <a:pt x="620138" y="0"/>
              </a:lnTo>
              <a:lnTo>
                <a:pt x="1787457" y="490437"/>
              </a:lnTo>
              <a:lnTo>
                <a:pt x="2261680" y="1653703"/>
              </a:lnTo>
              <a:lnTo>
                <a:pt x="1783404" y="2812915"/>
              </a:lnTo>
              <a:lnTo>
                <a:pt x="1187585" y="3056107"/>
              </a:lnTo>
              <a:lnTo>
                <a:pt x="620138" y="1673969"/>
              </a:lnTo>
              <a:lnTo>
                <a:pt x="0" y="255351"/>
              </a:lnTo>
              <a:close/>
            </a:path>
          </a:pathLst>
        </a:custGeom>
        <a:solidFill xmlns:a="http://schemas.openxmlformats.org/drawingml/2006/main">
          <a:schemeClr val="accent1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  <cdr:relSizeAnchor xmlns:cdr="http://schemas.openxmlformats.org/drawingml/2006/chartDrawing">
    <cdr:from>
      <cdr:x>0.35734</cdr:x>
      <cdr:y>0.53806</cdr:y>
    </cdr:from>
    <cdr:to>
      <cdr:x>0.60613</cdr:x>
      <cdr:y>0.93064</cdr:y>
    </cdr:to>
    <cdr:sp macro="" textlink="">
      <cdr:nvSpPr>
        <cdr:cNvPr id="4" name="Freeform: Shape 3">
          <a:extLst xmlns:a="http://schemas.openxmlformats.org/drawingml/2006/main">
            <a:ext uri="{FF2B5EF4-FFF2-40B4-BE49-F238E27FC236}">
              <a16:creationId xmlns:a16="http://schemas.microsoft.com/office/drawing/2014/main" id="{DE30D649-2661-1354-A668-B331E520DA29}"/>
            </a:ext>
          </a:extLst>
        </cdr:cNvPr>
        <cdr:cNvSpPr/>
      </cdr:nvSpPr>
      <cdr:spPr>
        <a:xfrm xmlns:a="http://schemas.openxmlformats.org/drawingml/2006/main">
          <a:off x="1746520" y="2216591"/>
          <a:ext cx="1215958" cy="1617223"/>
        </a:xfrm>
        <a:custGeom xmlns:a="http://schemas.openxmlformats.org/drawingml/2006/main">
          <a:avLst/>
          <a:gdLst>
            <a:gd name="connsiteX0" fmla="*/ 644458 w 1215958"/>
            <a:gd name="connsiteY0" fmla="*/ 0 h 1617223"/>
            <a:gd name="connsiteX1" fmla="*/ 0 w 1215958"/>
            <a:gd name="connsiteY1" fmla="*/ 1345659 h 1617223"/>
            <a:gd name="connsiteX2" fmla="*/ 656617 w 1215958"/>
            <a:gd name="connsiteY2" fmla="*/ 1617223 h 1617223"/>
            <a:gd name="connsiteX3" fmla="*/ 1215958 w 1215958"/>
            <a:gd name="connsiteY3" fmla="*/ 1369978 h 1617223"/>
            <a:gd name="connsiteX4" fmla="*/ 644458 w 1215958"/>
            <a:gd name="connsiteY4" fmla="*/ 0 h 16172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15958" h="1617223">
              <a:moveTo>
                <a:pt x="644458" y="0"/>
              </a:moveTo>
              <a:lnTo>
                <a:pt x="0" y="1345659"/>
              </a:lnTo>
              <a:lnTo>
                <a:pt x="656617" y="1617223"/>
              </a:lnTo>
              <a:lnTo>
                <a:pt x="1215958" y="1369978"/>
              </a:lnTo>
              <a:lnTo>
                <a:pt x="644458" y="0"/>
              </a:lnTo>
              <a:close/>
            </a:path>
          </a:pathLst>
        </a:custGeom>
        <a:solidFill xmlns:a="http://schemas.openxmlformats.org/drawingml/2006/main">
          <a:schemeClr val="accent6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  <cdr:relSizeAnchor xmlns:cdr="http://schemas.openxmlformats.org/drawingml/2006/chartDrawing">
    <cdr:from>
      <cdr:x>0.15334</cdr:x>
      <cdr:y>0.1937</cdr:y>
    </cdr:from>
    <cdr:to>
      <cdr:x>0.4892</cdr:x>
      <cdr:y>0.86373</cdr:y>
    </cdr:to>
    <cdr:sp macro="" textlink="">
      <cdr:nvSpPr>
        <cdr:cNvPr id="7" name="Freeform: Shape 6">
          <a:extLst xmlns:a="http://schemas.openxmlformats.org/drawingml/2006/main">
            <a:ext uri="{FF2B5EF4-FFF2-40B4-BE49-F238E27FC236}">
              <a16:creationId xmlns:a16="http://schemas.microsoft.com/office/drawing/2014/main" id="{EA1780F8-1F8C-28A3-F284-D1B36C3C3C81}"/>
            </a:ext>
          </a:extLst>
        </cdr:cNvPr>
        <cdr:cNvSpPr/>
      </cdr:nvSpPr>
      <cdr:spPr>
        <a:xfrm xmlns:a="http://schemas.openxmlformats.org/drawingml/2006/main">
          <a:off x="749435" y="797974"/>
          <a:ext cx="1641543" cy="2760223"/>
        </a:xfrm>
        <a:custGeom xmlns:a="http://schemas.openxmlformats.org/drawingml/2006/main">
          <a:avLst/>
          <a:gdLst>
            <a:gd name="connsiteX0" fmla="*/ 1641543 w 1641543"/>
            <a:gd name="connsiteY0" fmla="*/ 1414564 h 2760223"/>
            <a:gd name="connsiteX1" fmla="*/ 988979 w 1641543"/>
            <a:gd name="connsiteY1" fmla="*/ 2760223 h 2760223"/>
            <a:gd name="connsiteX2" fmla="*/ 478277 w 1641543"/>
            <a:gd name="connsiteY2" fmla="*/ 2549457 h 2760223"/>
            <a:gd name="connsiteX3" fmla="*/ 0 w 1641543"/>
            <a:gd name="connsiteY3" fmla="*/ 1386191 h 2760223"/>
            <a:gd name="connsiteX4" fmla="*/ 474224 w 1641543"/>
            <a:gd name="connsiteY4" fmla="*/ 226978 h 2760223"/>
            <a:gd name="connsiteX5" fmla="*/ 1025458 w 1641543"/>
            <a:gd name="connsiteY5" fmla="*/ 0 h 2760223"/>
            <a:gd name="connsiteX6" fmla="*/ 1641543 w 1641543"/>
            <a:gd name="connsiteY6" fmla="*/ 1414564 h 27602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641543" h="2760223">
              <a:moveTo>
                <a:pt x="1641543" y="1414564"/>
              </a:moveTo>
              <a:lnTo>
                <a:pt x="988979" y="2760223"/>
              </a:lnTo>
              <a:lnTo>
                <a:pt x="478277" y="2549457"/>
              </a:lnTo>
              <a:lnTo>
                <a:pt x="0" y="1386191"/>
              </a:lnTo>
              <a:lnTo>
                <a:pt x="474224" y="226978"/>
              </a:lnTo>
              <a:lnTo>
                <a:pt x="1025458" y="0"/>
              </a:lnTo>
              <a:lnTo>
                <a:pt x="1641543" y="1414564"/>
              </a:lnTo>
              <a:close/>
            </a:path>
          </a:pathLst>
        </a:custGeom>
        <a:solidFill xmlns:a="http://schemas.openxmlformats.org/drawingml/2006/main">
          <a:schemeClr val="accent4">
            <a:alpha val="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33</xdr:row>
      <xdr:rowOff>166686</xdr:rowOff>
    </xdr:from>
    <xdr:to>
      <xdr:col>4</xdr:col>
      <xdr:colOff>161924</xdr:colOff>
      <xdr:row>55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CF056-0A4A-46EA-9659-784502922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1130225</xdr:colOff>
      <xdr:row>40</xdr:row>
      <xdr:rowOff>178430</xdr:rowOff>
    </xdr:from>
    <xdr:ext cx="264560" cy="45435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2BD6B7-D710-4089-8498-07C36CCD9BA8}"/>
            </a:ext>
          </a:extLst>
        </xdr:cNvPr>
        <xdr:cNvSpPr txBox="1"/>
      </xdr:nvSpPr>
      <xdr:spPr>
        <a:xfrm rot="3464085">
          <a:off x="3321327" y="9425611"/>
          <a:ext cx="4543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Base</a:t>
          </a:r>
        </a:p>
      </xdr:txBody>
    </xdr:sp>
    <xdr:clientData/>
  </xdr:oneCellAnchor>
  <xdr:oneCellAnchor>
    <xdr:from>
      <xdr:col>1</xdr:col>
      <xdr:colOff>716124</xdr:colOff>
      <xdr:row>41</xdr:row>
      <xdr:rowOff>143105</xdr:rowOff>
    </xdr:from>
    <xdr:ext cx="436786" cy="8629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2B427E-AABE-48C0-AE45-CA29355EA3A4}"/>
            </a:ext>
          </a:extLst>
        </xdr:cNvPr>
        <xdr:cNvSpPr txBox="1"/>
      </xdr:nvSpPr>
      <xdr:spPr>
        <a:xfrm rot="16950179">
          <a:off x="1115965" y="9698960"/>
          <a:ext cx="86292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nl-BE" sz="1100"/>
            <a:t>Subsequent</a:t>
          </a:r>
          <a:br>
            <a:rPr lang="nl-BE" sz="1100"/>
          </a:br>
          <a:r>
            <a:rPr lang="nl-BE" sz="1100"/>
            <a:t>Impact</a:t>
          </a:r>
        </a:p>
      </xdr:txBody>
    </xdr:sp>
    <xdr:clientData/>
  </xdr:oneCellAnchor>
  <xdr:oneCellAnchor>
    <xdr:from>
      <xdr:col>2</xdr:col>
      <xdr:colOff>25915</xdr:colOff>
      <xdr:row>50</xdr:row>
      <xdr:rowOff>139147</xdr:rowOff>
    </xdr:from>
    <xdr:ext cx="5814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1A84E2-1F30-4D89-8A79-B8A971478929}"/>
            </a:ext>
          </a:extLst>
        </xdr:cNvPr>
        <xdr:cNvSpPr txBox="1"/>
      </xdr:nvSpPr>
      <xdr:spPr>
        <a:xfrm rot="10800000">
          <a:off x="2311915" y="11196430"/>
          <a:ext cx="5814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Impact</a:t>
          </a:r>
        </a:p>
      </xdr:txBody>
    </xdr:sp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0.2511</cdr:x>
      <cdr:y>0.53118</cdr:y>
    </cdr:from>
    <cdr:to>
      <cdr:x>0.72661</cdr:x>
      <cdr:y>0.88833</cdr:y>
    </cdr:to>
    <cdr:sp macro="" textlink="">
      <cdr:nvSpPr>
        <cdr:cNvPr id="5" name="Freeform: Shape 4">
          <a:extLst xmlns:a="http://schemas.openxmlformats.org/drawingml/2006/main">
            <a:ext uri="{FF2B5EF4-FFF2-40B4-BE49-F238E27FC236}">
              <a16:creationId xmlns:a16="http://schemas.microsoft.com/office/drawing/2014/main" id="{872DF6E8-FC62-9A7E-72B1-A1167EBECDFF}"/>
            </a:ext>
          </a:extLst>
        </cdr:cNvPr>
        <cdr:cNvSpPr/>
      </cdr:nvSpPr>
      <cdr:spPr>
        <a:xfrm xmlns:a="http://schemas.openxmlformats.org/drawingml/2006/main">
          <a:off x="1098010" y="2188219"/>
          <a:ext cx="2079287" cy="1471308"/>
        </a:xfrm>
        <a:custGeom xmlns:a="http://schemas.openxmlformats.org/drawingml/2006/main">
          <a:avLst/>
          <a:gdLst>
            <a:gd name="connsiteX0" fmla="*/ 1045723 w 2079287"/>
            <a:gd name="connsiteY0" fmla="*/ 0 h 1471308"/>
            <a:gd name="connsiteX1" fmla="*/ 2079287 w 2079287"/>
            <a:gd name="connsiteY1" fmla="*/ 976819 h 1471308"/>
            <a:gd name="connsiteX2" fmla="*/ 1791510 w 2079287"/>
            <a:gd name="connsiteY2" fmla="*/ 1276755 h 1471308"/>
            <a:gd name="connsiteX3" fmla="*/ 1041670 w 2079287"/>
            <a:gd name="connsiteY3" fmla="*/ 1471308 h 1471308"/>
            <a:gd name="connsiteX4" fmla="*/ 299936 w 2079287"/>
            <a:gd name="connsiteY4" fmla="*/ 1272702 h 1471308"/>
            <a:gd name="connsiteX5" fmla="*/ 0 w 2079287"/>
            <a:gd name="connsiteY5" fmla="*/ 960606 h 1471308"/>
            <a:gd name="connsiteX6" fmla="*/ 1045723 w 2079287"/>
            <a:gd name="connsiteY6" fmla="*/ 0 h 14713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079287" h="1471308">
              <a:moveTo>
                <a:pt x="1045723" y="0"/>
              </a:moveTo>
              <a:lnTo>
                <a:pt x="2079287" y="976819"/>
              </a:lnTo>
              <a:lnTo>
                <a:pt x="1791510" y="1276755"/>
              </a:lnTo>
              <a:lnTo>
                <a:pt x="1041670" y="1471308"/>
              </a:lnTo>
              <a:lnTo>
                <a:pt x="299936" y="1272702"/>
              </a:lnTo>
              <a:lnTo>
                <a:pt x="0" y="960606"/>
              </a:lnTo>
              <a:lnTo>
                <a:pt x="1045723" y="0"/>
              </a:lnTo>
              <a:close/>
            </a:path>
          </a:pathLst>
        </a:custGeom>
        <a:solidFill xmlns:a="http://schemas.openxmlformats.org/drawingml/2006/main">
          <a:schemeClr val="accent6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indent="0"/>
          <a:endParaRPr lang="nl-BE" sz="11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0.39663</cdr:x>
      <cdr:y>0.17304</cdr:y>
    </cdr:from>
    <cdr:to>
      <cdr:x>0.82579</cdr:x>
      <cdr:y>0.76633</cdr:y>
    </cdr:to>
    <cdr:sp macro="" textlink="">
      <cdr:nvSpPr>
        <cdr:cNvPr id="6" name="Freeform: Shape 5">
          <a:extLst xmlns:a="http://schemas.openxmlformats.org/drawingml/2006/main">
            <a:ext uri="{FF2B5EF4-FFF2-40B4-BE49-F238E27FC236}">
              <a16:creationId xmlns:a16="http://schemas.microsoft.com/office/drawing/2014/main" id="{11A964FE-ABC8-6F13-81F3-CA6F5C5265E3}"/>
            </a:ext>
          </a:extLst>
        </cdr:cNvPr>
        <cdr:cNvSpPr/>
      </cdr:nvSpPr>
      <cdr:spPr>
        <a:xfrm xmlns:a="http://schemas.openxmlformats.org/drawingml/2006/main">
          <a:off x="1734361" y="712857"/>
          <a:ext cx="1876627" cy="2444074"/>
        </a:xfrm>
        <a:custGeom xmlns:a="http://schemas.openxmlformats.org/drawingml/2006/main">
          <a:avLst/>
          <a:gdLst>
            <a:gd name="connsiteX0" fmla="*/ 413425 w 1876627"/>
            <a:gd name="connsiteY0" fmla="*/ 1471308 h 2444074"/>
            <a:gd name="connsiteX1" fmla="*/ 1442936 w 1876627"/>
            <a:gd name="connsiteY1" fmla="*/ 2444074 h 2444074"/>
            <a:gd name="connsiteX2" fmla="*/ 1686127 w 1876627"/>
            <a:gd name="connsiteY2" fmla="*/ 2208989 h 2444074"/>
            <a:gd name="connsiteX3" fmla="*/ 1876627 w 1876627"/>
            <a:gd name="connsiteY3" fmla="*/ 1463202 h 2444074"/>
            <a:gd name="connsiteX4" fmla="*/ 1678021 w 1876627"/>
            <a:gd name="connsiteY4" fmla="*/ 737681 h 2444074"/>
            <a:gd name="connsiteX5" fmla="*/ 1147053 w 1876627"/>
            <a:gd name="connsiteY5" fmla="*/ 202660 h 2444074"/>
            <a:gd name="connsiteX6" fmla="*/ 421532 w 1876627"/>
            <a:gd name="connsiteY6" fmla="*/ 0 h 2444074"/>
            <a:gd name="connsiteX7" fmla="*/ 0 w 1876627"/>
            <a:gd name="connsiteY7" fmla="*/ 113489 h 2444074"/>
            <a:gd name="connsiteX8" fmla="*/ 413425 w 1876627"/>
            <a:gd name="connsiteY8" fmla="*/ 1471308 h 24440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876627" h="2444074">
              <a:moveTo>
                <a:pt x="413425" y="1471308"/>
              </a:moveTo>
              <a:lnTo>
                <a:pt x="1442936" y="2444074"/>
              </a:lnTo>
              <a:lnTo>
                <a:pt x="1686127" y="2208989"/>
              </a:lnTo>
              <a:lnTo>
                <a:pt x="1876627" y="1463202"/>
              </a:lnTo>
              <a:lnTo>
                <a:pt x="1678021" y="737681"/>
              </a:lnTo>
              <a:lnTo>
                <a:pt x="1147053" y="202660"/>
              </a:lnTo>
              <a:lnTo>
                <a:pt x="421532" y="0"/>
              </a:lnTo>
              <a:lnTo>
                <a:pt x="0" y="113489"/>
              </a:lnTo>
              <a:lnTo>
                <a:pt x="413425" y="1471308"/>
              </a:lnTo>
              <a:close/>
            </a:path>
          </a:pathLst>
        </a:custGeom>
        <a:solidFill xmlns:a="http://schemas.openxmlformats.org/drawingml/2006/main">
          <a:schemeClr val="accent5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indent="0"/>
          <a:endParaRPr lang="nl-BE" sz="11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0.15099</cdr:x>
      <cdr:y>0.19862</cdr:y>
    </cdr:from>
    <cdr:to>
      <cdr:x>0.48932</cdr:x>
      <cdr:y>0.76239</cdr:y>
    </cdr:to>
    <cdr:sp macro="" textlink="">
      <cdr:nvSpPr>
        <cdr:cNvPr id="8" name="Freeform: Shape 7">
          <a:extLst xmlns:a="http://schemas.openxmlformats.org/drawingml/2006/main">
            <a:ext uri="{FF2B5EF4-FFF2-40B4-BE49-F238E27FC236}">
              <a16:creationId xmlns:a16="http://schemas.microsoft.com/office/drawing/2014/main" id="{16201596-FA3F-2B44-ECB0-2EDBEE7058C8}"/>
            </a:ext>
          </a:extLst>
        </cdr:cNvPr>
        <cdr:cNvSpPr/>
      </cdr:nvSpPr>
      <cdr:spPr>
        <a:xfrm xmlns:a="http://schemas.openxmlformats.org/drawingml/2006/main">
          <a:off x="660265" y="818240"/>
          <a:ext cx="1479415" cy="2322479"/>
        </a:xfrm>
        <a:custGeom xmlns:a="http://schemas.openxmlformats.org/drawingml/2006/main">
          <a:avLst/>
          <a:gdLst>
            <a:gd name="connsiteX0" fmla="*/ 1479415 w 1479415"/>
            <a:gd name="connsiteY0" fmla="*/ 1365925 h 2322479"/>
            <a:gd name="connsiteX1" fmla="*/ 429638 w 1479415"/>
            <a:gd name="connsiteY1" fmla="*/ 2322479 h 2322479"/>
            <a:gd name="connsiteX2" fmla="*/ 198606 w 1479415"/>
            <a:gd name="connsiteY2" fmla="*/ 2103606 h 2322479"/>
            <a:gd name="connsiteX3" fmla="*/ 0 w 1479415"/>
            <a:gd name="connsiteY3" fmla="*/ 1365925 h 2322479"/>
            <a:gd name="connsiteX4" fmla="*/ 206713 w 1479415"/>
            <a:gd name="connsiteY4" fmla="*/ 640404 h 2322479"/>
            <a:gd name="connsiteX5" fmla="*/ 745787 w 1479415"/>
            <a:gd name="connsiteY5" fmla="*/ 93223 h 2322479"/>
            <a:gd name="connsiteX6" fmla="*/ 1074096 w 1479415"/>
            <a:gd name="connsiteY6" fmla="*/ 0 h 2322479"/>
            <a:gd name="connsiteX7" fmla="*/ 1479415 w 1479415"/>
            <a:gd name="connsiteY7" fmla="*/ 1365925 h 23224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479415" h="2322479">
              <a:moveTo>
                <a:pt x="1479415" y="1365925"/>
              </a:moveTo>
              <a:lnTo>
                <a:pt x="429638" y="2322479"/>
              </a:lnTo>
              <a:lnTo>
                <a:pt x="198606" y="2103606"/>
              </a:lnTo>
              <a:lnTo>
                <a:pt x="0" y="1365925"/>
              </a:lnTo>
              <a:lnTo>
                <a:pt x="206713" y="640404"/>
              </a:lnTo>
              <a:lnTo>
                <a:pt x="745787" y="93223"/>
              </a:lnTo>
              <a:lnTo>
                <a:pt x="1074096" y="0"/>
              </a:lnTo>
              <a:lnTo>
                <a:pt x="1479415" y="1365925"/>
              </a:lnTo>
              <a:close/>
            </a:path>
          </a:pathLst>
        </a:custGeom>
        <a:solidFill xmlns:a="http://schemas.openxmlformats.org/drawingml/2006/main">
          <a:schemeClr val="accent2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indent="0"/>
          <a:endParaRPr lang="nl-BE" sz="11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529D98-C3AE-436E-BC04-A2CD8AAE1816}" name="Table1" displayName="Table1" ref="A1:C23" totalsRowShown="0" headerRowDxfId="9" dataDxfId="8">
  <autoFilter ref="A1:C23" xr:uid="{99529D98-C3AE-436E-BC04-A2CD8AAE1816}"/>
  <tableColumns count="3">
    <tableColumn id="1" xr3:uid="{23C2216A-AF9E-4134-B435-2D6603A16070}" name="Vector Name" dataDxfId="7"/>
    <tableColumn id="2" xr3:uid="{582D824E-F9A2-4253-99E0-0E4446661479}" name="Vector value" dataDxfId="6"/>
    <tableColumn id="3" xr3:uid="{01AD3CDF-1A2F-4F19-9217-E2ED0864802E}" name="Display valu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D0087-DC28-4238-8AB3-A0369EEE5C95}" name="Table12" displayName="Table12" ref="A25:C62" totalsRowShown="0" headerRowDxfId="4" dataDxfId="3">
  <autoFilter ref="A25:C62" xr:uid="{7F3D0087-DC28-4238-8AB3-A0369EEE5C95}"/>
  <tableColumns count="3">
    <tableColumn id="1" xr3:uid="{93C029B5-1467-4B5B-B1AF-E0C62F5F4414}" name="Vector Name" dataDxfId="2"/>
    <tableColumn id="2" xr3:uid="{C3B3EDA5-96B4-4FCC-A998-9E03EC470CCE}" name="Vector Value" dataDxfId="1"/>
    <tableColumn id="3" xr3:uid="{78943672-A117-4180-AFE1-183BE4390609}" name="Display 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4457-5A89-4321-9D80-CEBE5F505E4E}">
  <dimension ref="A1:P27"/>
  <sheetViews>
    <sheetView tabSelected="1" zoomScaleNormal="100" workbookViewId="0">
      <selection activeCell="M29" sqref="M29"/>
    </sheetView>
  </sheetViews>
  <sheetFormatPr defaultRowHeight="14.4" x14ac:dyDescent="0.3"/>
  <cols>
    <col min="1" max="1" width="7.6640625" bestFit="1" customWidth="1"/>
    <col min="2" max="2" width="25.109375" customWidth="1"/>
    <col min="3" max="3" width="21.33203125" customWidth="1"/>
    <col min="4" max="4" width="23.33203125" customWidth="1"/>
    <col min="5" max="5" width="13.33203125" customWidth="1"/>
  </cols>
  <sheetData>
    <row r="1" spans="1:16" x14ac:dyDescent="0.3">
      <c r="A1" s="31" t="s">
        <v>33</v>
      </c>
      <c r="B1" s="31"/>
      <c r="C1" s="31"/>
      <c r="D1" s="31"/>
      <c r="E1" s="31"/>
    </row>
    <row r="2" spans="1:16" x14ac:dyDescent="0.3">
      <c r="A2" s="4" t="s">
        <v>16</v>
      </c>
      <c r="B2" s="4" t="s">
        <v>17</v>
      </c>
      <c r="C2" s="5" t="s">
        <v>18</v>
      </c>
      <c r="D2" s="5"/>
      <c r="E2" s="6"/>
    </row>
    <row r="3" spans="1:16" x14ac:dyDescent="0.3">
      <c r="A3" s="32" t="s">
        <v>19</v>
      </c>
      <c r="B3" s="4" t="s">
        <v>38</v>
      </c>
      <c r="C3" s="5" t="s">
        <v>20</v>
      </c>
      <c r="D3" s="7" t="s">
        <v>21</v>
      </c>
      <c r="E3" s="8" t="s">
        <v>22</v>
      </c>
    </row>
    <row r="4" spans="1:16" x14ac:dyDescent="0.3">
      <c r="A4" s="33"/>
      <c r="B4" s="9" t="s">
        <v>39</v>
      </c>
      <c r="C4" s="10" t="s">
        <v>23</v>
      </c>
      <c r="D4" s="10" t="s">
        <v>24</v>
      </c>
      <c r="E4" s="11" t="s">
        <v>25</v>
      </c>
    </row>
    <row r="5" spans="1:16" x14ac:dyDescent="0.3">
      <c r="A5" s="33"/>
      <c r="B5" s="9" t="s">
        <v>40</v>
      </c>
      <c r="C5" s="10" t="s">
        <v>23</v>
      </c>
      <c r="D5" s="10" t="s">
        <v>25</v>
      </c>
      <c r="E5" s="11" t="s">
        <v>26</v>
      </c>
    </row>
    <row r="6" spans="1:16" x14ac:dyDescent="0.3">
      <c r="A6" s="33"/>
      <c r="B6" s="9" t="s">
        <v>41</v>
      </c>
      <c r="C6" s="10" t="s">
        <v>27</v>
      </c>
      <c r="D6" s="10" t="s">
        <v>26</v>
      </c>
      <c r="E6" s="19"/>
    </row>
    <row r="7" spans="1:16" ht="31.8" x14ac:dyDescent="0.3">
      <c r="A7" s="12" t="s">
        <v>28</v>
      </c>
      <c r="B7" s="4" t="s">
        <v>42</v>
      </c>
      <c r="C7" s="7" t="s">
        <v>29</v>
      </c>
      <c r="D7" s="7" t="s">
        <v>30</v>
      </c>
      <c r="E7" s="20"/>
    </row>
    <row r="8" spans="1:16" x14ac:dyDescent="0.3">
      <c r="A8" s="32" t="s">
        <v>31</v>
      </c>
      <c r="B8" s="4" t="s">
        <v>43</v>
      </c>
      <c r="C8" s="7" t="s">
        <v>26</v>
      </c>
      <c r="D8" s="7" t="s">
        <v>25</v>
      </c>
      <c r="E8" s="8" t="s">
        <v>23</v>
      </c>
    </row>
    <row r="9" spans="1:16" x14ac:dyDescent="0.3">
      <c r="A9" s="33"/>
      <c r="B9" s="9" t="s">
        <v>44</v>
      </c>
      <c r="C9" s="10" t="s">
        <v>26</v>
      </c>
      <c r="D9" s="10" t="s">
        <v>25</v>
      </c>
      <c r="E9" s="11" t="s">
        <v>23</v>
      </c>
    </row>
    <row r="10" spans="1:16" x14ac:dyDescent="0.3">
      <c r="A10" s="34"/>
      <c r="B10" s="13" t="s">
        <v>45</v>
      </c>
      <c r="C10" s="14" t="s">
        <v>26</v>
      </c>
      <c r="D10" s="14" t="s">
        <v>25</v>
      </c>
      <c r="E10" s="15" t="s">
        <v>23</v>
      </c>
    </row>
    <row r="13" spans="1:16" x14ac:dyDescent="0.3">
      <c r="A13" s="31" t="s">
        <v>37</v>
      </c>
      <c r="B13" s="31"/>
      <c r="C13" s="31"/>
      <c r="D13" s="31"/>
      <c r="E13" s="31"/>
    </row>
    <row r="14" spans="1:16" ht="17.399999999999999" x14ac:dyDescent="0.4">
      <c r="B14" s="16" t="s">
        <v>36</v>
      </c>
      <c r="C14" s="36" t="s">
        <v>83</v>
      </c>
      <c r="D14" s="21"/>
      <c r="E14" s="3"/>
      <c r="F14" s="22"/>
    </row>
    <row r="15" spans="1:16" x14ac:dyDescent="0.3">
      <c r="B15" s="16" t="s">
        <v>17</v>
      </c>
      <c r="C15" s="16" t="s">
        <v>18</v>
      </c>
      <c r="D15" s="16" t="s">
        <v>32</v>
      </c>
    </row>
    <row r="16" spans="1:16" x14ac:dyDescent="0.3">
      <c r="B16" s="17" t="s">
        <v>0</v>
      </c>
      <c r="C16" s="16" t="str">
        <f>MID($C$14,13,1)</f>
        <v>N</v>
      </c>
      <c r="D16" s="1">
        <f>VLOOKUP(C16,Lookup!B2:C4,2,FALSE)</f>
        <v>3</v>
      </c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3">
      <c r="B17" s="17" t="s">
        <v>4</v>
      </c>
      <c r="C17" s="16" t="str">
        <f>MID($C$14,18,1)</f>
        <v>H</v>
      </c>
      <c r="D17" s="1">
        <f>VLOOKUP(C17,Lookup!B5:C7,2,FALSE)</f>
        <v>1</v>
      </c>
      <c r="H17" s="24"/>
      <c r="I17" s="24"/>
      <c r="J17" s="24"/>
      <c r="K17" s="24"/>
      <c r="L17" s="24"/>
      <c r="M17" s="24"/>
      <c r="N17" s="24"/>
      <c r="O17" s="24"/>
      <c r="P17" s="24"/>
    </row>
    <row r="18" spans="1:16" x14ac:dyDescent="0.3">
      <c r="B18" s="17" t="s">
        <v>7</v>
      </c>
      <c r="C18" s="16" t="str">
        <f>MID($C$14,23,1)</f>
        <v>N</v>
      </c>
      <c r="D18" s="1">
        <f>VLOOKUP(C18,Lookup!B8:C10,2,FALSE)</f>
        <v>3</v>
      </c>
      <c r="H18" s="24"/>
      <c r="I18" s="24"/>
      <c r="J18" s="24"/>
      <c r="K18" s="24"/>
      <c r="L18" s="24"/>
      <c r="M18" s="24"/>
      <c r="N18" s="24"/>
      <c r="O18" s="24"/>
      <c r="P18" s="24"/>
    </row>
    <row r="19" spans="1:16" x14ac:dyDescent="0.3">
      <c r="B19" s="17" t="s">
        <v>8</v>
      </c>
      <c r="C19" s="16" t="str">
        <f>MID($C$14,28,1)</f>
        <v>N</v>
      </c>
      <c r="D19" s="1">
        <f>VLOOKUP(C19,Lookup!B11:C12,2,FALSE)</f>
        <v>3</v>
      </c>
      <c r="H19" s="24"/>
      <c r="I19" s="24"/>
      <c r="J19" s="24"/>
      <c r="K19" s="24"/>
      <c r="L19" s="24"/>
      <c r="M19" s="24"/>
      <c r="N19" s="24"/>
      <c r="O19" s="24"/>
      <c r="P19" s="24"/>
    </row>
    <row r="20" spans="1:16" x14ac:dyDescent="0.3">
      <c r="B20" s="17" t="s">
        <v>10</v>
      </c>
      <c r="C20" s="16" t="str">
        <f>MID($C$14,32,1)</f>
        <v>U</v>
      </c>
      <c r="D20" s="1">
        <f>VLOOKUP(C20,Lookup!B13:C14,2,FALSE)</f>
        <v>1</v>
      </c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3">
      <c r="B21" s="17" t="s">
        <v>12</v>
      </c>
      <c r="C21" s="16" t="str">
        <f>MID($C$14,36,1)</f>
        <v>N</v>
      </c>
      <c r="D21" s="1">
        <f>VLOOKUP(C21,Lookup!B15:C17,2,FALSE)</f>
        <v>1</v>
      </c>
    </row>
    <row r="22" spans="1:16" x14ac:dyDescent="0.3">
      <c r="B22" s="17" t="s">
        <v>13</v>
      </c>
      <c r="C22" s="16" t="str">
        <f>MID($C$14,40,1)</f>
        <v>N</v>
      </c>
      <c r="D22" s="1">
        <f>VLOOKUP(C22,Lookup!B18:C20,2,FALSE)</f>
        <v>1</v>
      </c>
    </row>
    <row r="23" spans="1:16" x14ac:dyDescent="0.3">
      <c r="B23" s="17" t="s">
        <v>2</v>
      </c>
      <c r="C23" s="16" t="str">
        <f>MID($C$14,44,1)</f>
        <v>L</v>
      </c>
      <c r="D23" s="1">
        <f>VLOOKUP(C23,Lookup!B21:C23,2,FALSE)</f>
        <v>2</v>
      </c>
    </row>
    <row r="24" spans="1:16" ht="31.2" x14ac:dyDescent="0.3">
      <c r="B24" s="17" t="s">
        <v>34</v>
      </c>
      <c r="C24" s="35" t="s">
        <v>82</v>
      </c>
      <c r="D24" s="18"/>
    </row>
    <row r="27" spans="1:16" x14ac:dyDescent="0.3">
      <c r="A27" s="31" t="s">
        <v>35</v>
      </c>
      <c r="B27" s="31"/>
      <c r="C27" s="31"/>
      <c r="D27" s="31"/>
      <c r="E27" s="31"/>
    </row>
  </sheetData>
  <mergeCells count="5">
    <mergeCell ref="A3:A6"/>
    <mergeCell ref="A8:A10"/>
    <mergeCell ref="A1:E1"/>
    <mergeCell ref="A13:E13"/>
    <mergeCell ref="A27:E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35A2-A2E5-4B3B-BC17-4F57ACEE66F7}">
  <dimension ref="A1:P33"/>
  <sheetViews>
    <sheetView topLeftCell="A4" zoomScale="85" zoomScaleNormal="85" workbookViewId="0">
      <selection activeCell="C30" sqref="C30"/>
    </sheetView>
  </sheetViews>
  <sheetFormatPr defaultRowHeight="14.4" x14ac:dyDescent="0.3"/>
  <cols>
    <col min="1" max="1" width="9.109375" customWidth="1"/>
    <col min="2" max="2" width="25.109375" customWidth="1"/>
    <col min="3" max="3" width="17.5546875" customWidth="1"/>
    <col min="4" max="4" width="17.88671875" customWidth="1"/>
    <col min="5" max="5" width="7" customWidth="1"/>
    <col min="6" max="6" width="5" customWidth="1"/>
  </cols>
  <sheetData>
    <row r="1" spans="1:6" x14ac:dyDescent="0.3">
      <c r="A1" s="28" t="s">
        <v>33</v>
      </c>
      <c r="B1" s="28"/>
      <c r="C1" s="28"/>
      <c r="D1" s="28"/>
      <c r="E1" s="28"/>
      <c r="F1" s="28"/>
    </row>
    <row r="2" spans="1:6" x14ac:dyDescent="0.3">
      <c r="A2" s="27" t="s">
        <v>16</v>
      </c>
      <c r="B2" s="27" t="s">
        <v>17</v>
      </c>
      <c r="C2" s="30" t="s">
        <v>18</v>
      </c>
      <c r="D2" s="30"/>
      <c r="E2" s="30"/>
      <c r="F2" s="30"/>
    </row>
    <row r="3" spans="1:6" ht="15" customHeight="1" x14ac:dyDescent="0.3">
      <c r="A3" s="29" t="s">
        <v>19</v>
      </c>
      <c r="B3" s="27" t="s">
        <v>62</v>
      </c>
      <c r="C3" s="30" t="s">
        <v>63</v>
      </c>
      <c r="D3" s="30"/>
      <c r="E3" s="30"/>
      <c r="F3" s="30"/>
    </row>
    <row r="4" spans="1:6" x14ac:dyDescent="0.3">
      <c r="A4" s="29"/>
      <c r="B4" s="27" t="s">
        <v>64</v>
      </c>
      <c r="C4" s="30" t="s">
        <v>65</v>
      </c>
      <c r="D4" s="30"/>
      <c r="E4" s="30"/>
      <c r="F4" s="30"/>
    </row>
    <row r="5" spans="1:6" x14ac:dyDescent="0.3">
      <c r="A5" s="29"/>
      <c r="B5" s="27" t="s">
        <v>66</v>
      </c>
      <c r="C5" s="30" t="s">
        <v>67</v>
      </c>
      <c r="D5" s="30"/>
      <c r="E5" s="30"/>
      <c r="F5" s="30"/>
    </row>
    <row r="6" spans="1:6" ht="30" customHeight="1" x14ac:dyDescent="0.3">
      <c r="A6" s="29"/>
      <c r="B6" s="27" t="s">
        <v>68</v>
      </c>
      <c r="C6" s="30" t="s">
        <v>69</v>
      </c>
      <c r="D6" s="30"/>
      <c r="E6" s="30"/>
      <c r="F6" s="30"/>
    </row>
    <row r="7" spans="1:6" ht="30" customHeight="1" x14ac:dyDescent="0.3">
      <c r="A7" s="29"/>
      <c r="B7" s="27" t="s">
        <v>70</v>
      </c>
      <c r="C7" s="30" t="s">
        <v>71</v>
      </c>
      <c r="D7" s="30"/>
      <c r="E7" s="30"/>
      <c r="F7" s="30"/>
    </row>
    <row r="8" spans="1:6" ht="28.8" x14ac:dyDescent="0.3">
      <c r="A8" s="29" t="s">
        <v>31</v>
      </c>
      <c r="B8" s="27" t="s">
        <v>72</v>
      </c>
      <c r="C8" s="30" t="s">
        <v>73</v>
      </c>
      <c r="D8" s="30"/>
      <c r="E8" s="30"/>
      <c r="F8" s="30"/>
    </row>
    <row r="9" spans="1:6" ht="28.8" x14ac:dyDescent="0.3">
      <c r="A9" s="29"/>
      <c r="B9" s="27" t="s">
        <v>74</v>
      </c>
      <c r="C9" s="30" t="s">
        <v>73</v>
      </c>
      <c r="D9" s="30"/>
      <c r="E9" s="30"/>
      <c r="F9" s="30"/>
    </row>
    <row r="10" spans="1:6" ht="15" customHeight="1" x14ac:dyDescent="0.3">
      <c r="A10" s="29"/>
      <c r="B10" s="27" t="s">
        <v>75</v>
      </c>
      <c r="C10" s="30" t="s">
        <v>73</v>
      </c>
      <c r="D10" s="30"/>
      <c r="E10" s="30"/>
      <c r="F10" s="30"/>
    </row>
    <row r="11" spans="1:6" ht="45" customHeight="1" x14ac:dyDescent="0.3">
      <c r="A11" s="29" t="s">
        <v>76</v>
      </c>
      <c r="B11" s="27" t="s">
        <v>77</v>
      </c>
      <c r="C11" s="30" t="s">
        <v>73</v>
      </c>
      <c r="D11" s="30"/>
      <c r="E11" s="30"/>
      <c r="F11" s="30"/>
    </row>
    <row r="12" spans="1:6" ht="28.8" x14ac:dyDescent="0.3">
      <c r="A12" s="29"/>
      <c r="B12" s="27" t="s">
        <v>78</v>
      </c>
      <c r="C12" s="30" t="s">
        <v>73</v>
      </c>
      <c r="D12" s="30"/>
      <c r="E12" s="30"/>
      <c r="F12" s="30"/>
    </row>
    <row r="13" spans="1:6" ht="28.8" x14ac:dyDescent="0.3">
      <c r="A13" s="29"/>
      <c r="B13" s="27" t="s">
        <v>79</v>
      </c>
      <c r="C13" s="30" t="s">
        <v>73</v>
      </c>
      <c r="D13" s="30"/>
      <c r="E13" s="30"/>
      <c r="F13" s="30"/>
    </row>
    <row r="15" spans="1:6" x14ac:dyDescent="0.3">
      <c r="A15" s="31" t="s">
        <v>37</v>
      </c>
      <c r="B15" s="31"/>
      <c r="C15" s="31"/>
      <c r="D15" s="31"/>
      <c r="E15" s="31"/>
    </row>
    <row r="16" spans="1:6" ht="17.399999999999999" x14ac:dyDescent="0.4">
      <c r="B16" s="16" t="s">
        <v>36</v>
      </c>
      <c r="C16" s="37" t="s">
        <v>80</v>
      </c>
      <c r="D16" s="21"/>
      <c r="E16" s="3"/>
      <c r="F16" s="22"/>
    </row>
    <row r="17" spans="2:16" x14ac:dyDescent="0.3">
      <c r="B17" s="16" t="s">
        <v>17</v>
      </c>
      <c r="C17" s="16" t="s">
        <v>18</v>
      </c>
      <c r="D17" s="16" t="s">
        <v>32</v>
      </c>
    </row>
    <row r="18" spans="2:16" x14ac:dyDescent="0.3">
      <c r="B18" s="17" t="s">
        <v>0</v>
      </c>
      <c r="C18" s="16" t="str">
        <f>MID($C$16,13,1)</f>
        <v>N</v>
      </c>
      <c r="D18" s="1">
        <f>VLOOKUP(C18,Lookup!B26:C29,2,FALSE)</f>
        <v>4</v>
      </c>
      <c r="H18" s="23"/>
      <c r="I18" s="23"/>
      <c r="J18" s="23"/>
      <c r="K18" s="23"/>
      <c r="L18" s="23"/>
      <c r="M18" s="23"/>
      <c r="N18" s="23"/>
      <c r="O18" s="23"/>
      <c r="P18" s="23"/>
    </row>
    <row r="19" spans="2:16" x14ac:dyDescent="0.3">
      <c r="B19" s="17" t="s">
        <v>4</v>
      </c>
      <c r="C19" s="16" t="str">
        <f>MID($C$16,18,1)</f>
        <v>L</v>
      </c>
      <c r="D19" s="1">
        <f>VLOOKUP(C19,Lookup!B30:C31,2,FALSE)</f>
        <v>4</v>
      </c>
      <c r="H19" s="24"/>
      <c r="I19" s="24"/>
      <c r="J19" s="24"/>
      <c r="K19" s="24"/>
      <c r="L19" s="24"/>
      <c r="M19" s="24"/>
      <c r="N19" s="24"/>
      <c r="O19" s="24"/>
      <c r="P19" s="24"/>
    </row>
    <row r="20" spans="2:16" x14ac:dyDescent="0.3">
      <c r="B20" s="17" t="s">
        <v>46</v>
      </c>
      <c r="C20" s="16" t="str">
        <f>MID($C$16,23,1)</f>
        <v>N</v>
      </c>
      <c r="D20" s="1">
        <f>VLOOKUP(C20,Lookup!B32:C33,2,FALSE)</f>
        <v>4</v>
      </c>
      <c r="H20" s="24"/>
      <c r="I20" s="24"/>
      <c r="J20" s="24"/>
      <c r="K20" s="24"/>
      <c r="L20" s="24"/>
      <c r="M20" s="24"/>
      <c r="N20" s="24"/>
      <c r="O20" s="24"/>
      <c r="P20" s="24"/>
    </row>
    <row r="21" spans="2:16" x14ac:dyDescent="0.3">
      <c r="B21" s="17" t="s">
        <v>7</v>
      </c>
      <c r="C21" s="16" t="str">
        <f>MID($C$16,28,1)</f>
        <v>N</v>
      </c>
      <c r="D21" s="1">
        <f>VLOOKUP(C21,Lookup!B34:C36,2,FALSE)</f>
        <v>4</v>
      </c>
      <c r="H21" s="24"/>
      <c r="I21" s="24"/>
      <c r="J21" s="24"/>
      <c r="K21" s="24"/>
      <c r="L21" s="24"/>
      <c r="M21" s="24"/>
      <c r="N21" s="24"/>
      <c r="O21" s="24"/>
      <c r="P21" s="24"/>
    </row>
    <row r="22" spans="2:16" x14ac:dyDescent="0.3">
      <c r="B22" s="17" t="s">
        <v>8</v>
      </c>
      <c r="C22" s="16" t="str">
        <f>MID($C$16,33,1)</f>
        <v>N</v>
      </c>
      <c r="D22" s="1">
        <f>VLOOKUP(C22,Lookup!B37:C39,2,FALSE)</f>
        <v>4</v>
      </c>
      <c r="H22" s="24"/>
      <c r="I22" s="24"/>
      <c r="J22" s="24"/>
      <c r="K22" s="24"/>
      <c r="L22" s="24"/>
      <c r="M22" s="24"/>
      <c r="N22" s="24"/>
      <c r="O22" s="24"/>
      <c r="P22" s="24"/>
    </row>
    <row r="23" spans="2:16" x14ac:dyDescent="0.3">
      <c r="B23" s="17" t="s">
        <v>47</v>
      </c>
      <c r="C23" s="16" t="str">
        <f>MID($C$16,38,1)</f>
        <v>N</v>
      </c>
      <c r="D23" s="1">
        <f>VLOOKUP(C23,Lookup!B40:C42,2,FALSE)</f>
        <v>1</v>
      </c>
    </row>
    <row r="24" spans="2:16" x14ac:dyDescent="0.3">
      <c r="B24" s="17" t="s">
        <v>48</v>
      </c>
      <c r="C24" s="16" t="str">
        <f>MID($C$16,43,1)</f>
        <v>N</v>
      </c>
      <c r="D24" s="1">
        <f>VLOOKUP(C24,Lookup!B43:C45,2,FALSE)</f>
        <v>1</v>
      </c>
    </row>
    <row r="25" spans="2:16" x14ac:dyDescent="0.3">
      <c r="B25" s="17" t="s">
        <v>49</v>
      </c>
      <c r="C25" s="16" t="str">
        <f>MID($C$16,48,1)</f>
        <v>H</v>
      </c>
      <c r="D25" s="1">
        <f>VLOOKUP(C25,Lookup!B46:C48,2,FALSE)</f>
        <v>4</v>
      </c>
    </row>
    <row r="26" spans="2:16" x14ac:dyDescent="0.3">
      <c r="B26" s="17" t="s">
        <v>50</v>
      </c>
      <c r="C26" s="16" t="str">
        <f>MID($C$16,53,1)</f>
        <v>N</v>
      </c>
      <c r="D26" s="1">
        <f>VLOOKUP(C26,Lookup!B49:C51,2,FALSE)</f>
        <v>1</v>
      </c>
    </row>
    <row r="27" spans="2:16" x14ac:dyDescent="0.3">
      <c r="B27" s="17" t="s">
        <v>51</v>
      </c>
      <c r="C27" s="16" t="str">
        <f>MID($C$16,58,1)</f>
        <v>N</v>
      </c>
      <c r="D27" s="1">
        <f>VLOOKUP(C27,Lookup!B52:C54,2,FALSE)</f>
        <v>1</v>
      </c>
    </row>
    <row r="28" spans="2:16" x14ac:dyDescent="0.3">
      <c r="B28" s="17" t="s">
        <v>52</v>
      </c>
      <c r="C28" s="16" t="str">
        <f>MID($C$16,63,1)</f>
        <v>N</v>
      </c>
      <c r="D28" s="1">
        <f>VLOOKUP(C28,Lookup!B55:C57,2,FALSE)</f>
        <v>1</v>
      </c>
    </row>
    <row r="29" spans="2:16" x14ac:dyDescent="0.3">
      <c r="B29" s="17" t="s">
        <v>53</v>
      </c>
      <c r="C29" s="16" t="str">
        <f>MID($C$16,67,1)</f>
        <v/>
      </c>
      <c r="D29" s="1" t="e">
        <f>VLOOKUP(C29,Lookup!B58:C62,2,FALSE)</f>
        <v>#N/A</v>
      </c>
    </row>
    <row r="30" spans="2:16" ht="31.2" x14ac:dyDescent="0.3">
      <c r="B30" s="17" t="s">
        <v>34</v>
      </c>
      <c r="C30" s="35" t="s">
        <v>81</v>
      </c>
      <c r="D30" s="18"/>
    </row>
    <row r="33" spans="1:5" x14ac:dyDescent="0.3">
      <c r="A33" s="31" t="s">
        <v>35</v>
      </c>
      <c r="B33" s="31"/>
      <c r="C33" s="31"/>
      <c r="D33" s="31"/>
      <c r="E33" s="31"/>
    </row>
  </sheetData>
  <mergeCells count="18">
    <mergeCell ref="A15:E15"/>
    <mergeCell ref="A33:E33"/>
    <mergeCell ref="C2:F2"/>
    <mergeCell ref="C3:F3"/>
    <mergeCell ref="C4:F4"/>
    <mergeCell ref="C5:F5"/>
    <mergeCell ref="C6:F6"/>
    <mergeCell ref="C11:F11"/>
    <mergeCell ref="C12:F12"/>
    <mergeCell ref="C8:F8"/>
    <mergeCell ref="C13:F13"/>
    <mergeCell ref="A11:A13"/>
    <mergeCell ref="A1:F1"/>
    <mergeCell ref="A3:A7"/>
    <mergeCell ref="A8:A10"/>
    <mergeCell ref="C7:F7"/>
    <mergeCell ref="C9:F9"/>
    <mergeCell ref="C10:F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EC37-86DA-4905-A3E9-1CC2CD989A87}">
  <dimension ref="A1:D62"/>
  <sheetViews>
    <sheetView topLeftCell="A11" workbookViewId="0">
      <selection activeCell="C61" sqref="C61"/>
    </sheetView>
  </sheetViews>
  <sheetFormatPr defaultColWidth="9.109375" defaultRowHeight="14.4" x14ac:dyDescent="0.3"/>
  <cols>
    <col min="1" max="1" width="15.33203125" style="3" customWidth="1"/>
    <col min="2" max="2" width="14.33203125" style="3" customWidth="1"/>
    <col min="3" max="3" width="14.88671875" style="3" customWidth="1"/>
    <col min="4" max="16384" width="9.109375" style="3"/>
  </cols>
  <sheetData>
    <row r="1" spans="1:4" x14ac:dyDescent="0.3">
      <c r="A1" s="2" t="s">
        <v>56</v>
      </c>
      <c r="B1" s="2" t="s">
        <v>14</v>
      </c>
      <c r="C1" s="2" t="s">
        <v>15</v>
      </c>
      <c r="D1" s="3" t="s">
        <v>54</v>
      </c>
    </row>
    <row r="2" spans="1:4" x14ac:dyDescent="0.3">
      <c r="A2" s="2" t="s">
        <v>0</v>
      </c>
      <c r="B2" s="2" t="s">
        <v>1</v>
      </c>
      <c r="C2" s="2">
        <v>1</v>
      </c>
    </row>
    <row r="3" spans="1:4" x14ac:dyDescent="0.3">
      <c r="A3" s="2" t="s">
        <v>0</v>
      </c>
      <c r="B3" s="2" t="s">
        <v>2</v>
      </c>
      <c r="C3" s="2">
        <v>2</v>
      </c>
    </row>
    <row r="4" spans="1:4" x14ac:dyDescent="0.3">
      <c r="A4" s="2" t="s">
        <v>0</v>
      </c>
      <c r="B4" s="2" t="s">
        <v>3</v>
      </c>
      <c r="C4" s="2">
        <v>3</v>
      </c>
    </row>
    <row r="5" spans="1:4" x14ac:dyDescent="0.3">
      <c r="A5" s="2" t="s">
        <v>4</v>
      </c>
      <c r="B5" s="2" t="s">
        <v>5</v>
      </c>
      <c r="C5" s="2">
        <v>1</v>
      </c>
    </row>
    <row r="6" spans="1:4" x14ac:dyDescent="0.3">
      <c r="A6" s="2" t="s">
        <v>4</v>
      </c>
      <c r="B6" s="2" t="s">
        <v>6</v>
      </c>
      <c r="C6" s="2">
        <v>2</v>
      </c>
    </row>
    <row r="7" spans="1:4" x14ac:dyDescent="0.3">
      <c r="A7" s="2" t="s">
        <v>4</v>
      </c>
      <c r="B7" s="2" t="s">
        <v>1</v>
      </c>
      <c r="C7" s="2">
        <v>3</v>
      </c>
    </row>
    <row r="8" spans="1:4" x14ac:dyDescent="0.3">
      <c r="A8" s="2" t="s">
        <v>7</v>
      </c>
      <c r="B8" s="2" t="s">
        <v>5</v>
      </c>
      <c r="C8" s="2">
        <v>1</v>
      </c>
    </row>
    <row r="9" spans="1:4" x14ac:dyDescent="0.3">
      <c r="A9" s="2" t="s">
        <v>7</v>
      </c>
      <c r="B9" s="2" t="s">
        <v>1</v>
      </c>
      <c r="C9" s="2">
        <v>2</v>
      </c>
    </row>
    <row r="10" spans="1:4" x14ac:dyDescent="0.3">
      <c r="A10" s="2" t="s">
        <v>7</v>
      </c>
      <c r="B10" s="2" t="s">
        <v>3</v>
      </c>
      <c r="C10" s="2">
        <v>3</v>
      </c>
    </row>
    <row r="11" spans="1:4" x14ac:dyDescent="0.3">
      <c r="A11" s="2" t="s">
        <v>8</v>
      </c>
      <c r="B11" s="2" t="s">
        <v>9</v>
      </c>
      <c r="C11" s="2">
        <v>1</v>
      </c>
    </row>
    <row r="12" spans="1:4" x14ac:dyDescent="0.3">
      <c r="A12" s="2" t="s">
        <v>8</v>
      </c>
      <c r="B12" s="2" t="s">
        <v>3</v>
      </c>
      <c r="C12" s="2">
        <v>3</v>
      </c>
    </row>
    <row r="13" spans="1:4" x14ac:dyDescent="0.3">
      <c r="A13" s="2" t="s">
        <v>10</v>
      </c>
      <c r="B13" s="2" t="s">
        <v>11</v>
      </c>
      <c r="C13" s="2">
        <v>1</v>
      </c>
    </row>
    <row r="14" spans="1:4" x14ac:dyDescent="0.3">
      <c r="A14" s="2" t="s">
        <v>10</v>
      </c>
      <c r="B14" s="2" t="s">
        <v>12</v>
      </c>
      <c r="C14" s="2">
        <v>3</v>
      </c>
    </row>
    <row r="15" spans="1:4" x14ac:dyDescent="0.3">
      <c r="A15" s="2" t="s">
        <v>12</v>
      </c>
      <c r="B15" s="2" t="s">
        <v>3</v>
      </c>
      <c r="C15" s="2">
        <v>1</v>
      </c>
    </row>
    <row r="16" spans="1:4" x14ac:dyDescent="0.3">
      <c r="A16" s="2" t="s">
        <v>12</v>
      </c>
      <c r="B16" s="2" t="s">
        <v>1</v>
      </c>
      <c r="C16" s="2">
        <v>2</v>
      </c>
    </row>
    <row r="17" spans="1:4" x14ac:dyDescent="0.3">
      <c r="A17" s="2" t="s">
        <v>12</v>
      </c>
      <c r="B17" s="2" t="s">
        <v>5</v>
      </c>
      <c r="C17" s="2">
        <v>3</v>
      </c>
    </row>
    <row r="18" spans="1:4" x14ac:dyDescent="0.3">
      <c r="A18" s="2" t="s">
        <v>13</v>
      </c>
      <c r="B18" s="2" t="s">
        <v>3</v>
      </c>
      <c r="C18" s="2">
        <v>1</v>
      </c>
    </row>
    <row r="19" spans="1:4" x14ac:dyDescent="0.3">
      <c r="A19" s="2" t="s">
        <v>13</v>
      </c>
      <c r="B19" s="2" t="s">
        <v>1</v>
      </c>
      <c r="C19" s="2">
        <v>2</v>
      </c>
    </row>
    <row r="20" spans="1:4" x14ac:dyDescent="0.3">
      <c r="A20" s="2" t="s">
        <v>13</v>
      </c>
      <c r="B20" s="2" t="s">
        <v>5</v>
      </c>
      <c r="C20" s="2">
        <v>3</v>
      </c>
    </row>
    <row r="21" spans="1:4" x14ac:dyDescent="0.3">
      <c r="A21" s="2" t="s">
        <v>2</v>
      </c>
      <c r="B21" s="2" t="s">
        <v>3</v>
      </c>
      <c r="C21" s="2">
        <v>1</v>
      </c>
    </row>
    <row r="22" spans="1:4" x14ac:dyDescent="0.3">
      <c r="A22" s="2" t="s">
        <v>2</v>
      </c>
      <c r="B22" s="2" t="s">
        <v>1</v>
      </c>
      <c r="C22" s="2">
        <v>2</v>
      </c>
    </row>
    <row r="23" spans="1:4" x14ac:dyDescent="0.3">
      <c r="A23" s="2" t="s">
        <v>2</v>
      </c>
      <c r="B23" s="2" t="s">
        <v>5</v>
      </c>
      <c r="C23" s="2">
        <v>3</v>
      </c>
    </row>
    <row r="25" spans="1:4" x14ac:dyDescent="0.3">
      <c r="A25" s="25" t="s">
        <v>56</v>
      </c>
      <c r="B25" s="25" t="s">
        <v>57</v>
      </c>
      <c r="C25" s="25" t="s">
        <v>58</v>
      </c>
      <c r="D25" s="3" t="s">
        <v>55</v>
      </c>
    </row>
    <row r="26" spans="1:4" x14ac:dyDescent="0.3">
      <c r="A26" s="26" t="s">
        <v>0</v>
      </c>
      <c r="B26" s="26" t="s">
        <v>3</v>
      </c>
      <c r="C26" s="26">
        <v>4</v>
      </c>
    </row>
    <row r="27" spans="1:4" x14ac:dyDescent="0.3">
      <c r="A27" s="26" t="s">
        <v>0</v>
      </c>
      <c r="B27" s="26" t="s">
        <v>2</v>
      </c>
      <c r="C27" s="26">
        <v>3</v>
      </c>
    </row>
    <row r="28" spans="1:4" x14ac:dyDescent="0.3">
      <c r="A28" s="26" t="s">
        <v>0</v>
      </c>
      <c r="B28" s="26" t="s">
        <v>1</v>
      </c>
      <c r="C28" s="26">
        <v>2</v>
      </c>
    </row>
    <row r="29" spans="1:4" x14ac:dyDescent="0.3">
      <c r="A29" s="26" t="s">
        <v>0</v>
      </c>
      <c r="B29" s="26" t="s">
        <v>59</v>
      </c>
      <c r="C29" s="26">
        <v>1</v>
      </c>
    </row>
    <row r="30" spans="1:4" x14ac:dyDescent="0.3">
      <c r="A30" s="26" t="s">
        <v>4</v>
      </c>
      <c r="B30" s="26" t="s">
        <v>1</v>
      </c>
      <c r="C30" s="26">
        <v>4</v>
      </c>
    </row>
    <row r="31" spans="1:4" x14ac:dyDescent="0.3">
      <c r="A31" s="26" t="s">
        <v>4</v>
      </c>
      <c r="B31" s="26" t="s">
        <v>5</v>
      </c>
      <c r="C31" s="26">
        <v>2</v>
      </c>
    </row>
    <row r="32" spans="1:4" x14ac:dyDescent="0.3">
      <c r="A32" s="26" t="s">
        <v>46</v>
      </c>
      <c r="B32" s="26" t="s">
        <v>3</v>
      </c>
      <c r="C32" s="26">
        <v>4</v>
      </c>
    </row>
    <row r="33" spans="1:3" x14ac:dyDescent="0.3">
      <c r="A33" s="26" t="s">
        <v>46</v>
      </c>
      <c r="B33" s="26" t="s">
        <v>59</v>
      </c>
      <c r="C33" s="26">
        <v>2</v>
      </c>
    </row>
    <row r="34" spans="1:3" x14ac:dyDescent="0.3">
      <c r="A34" s="26" t="s">
        <v>7</v>
      </c>
      <c r="B34" s="26" t="s">
        <v>3</v>
      </c>
      <c r="C34" s="26">
        <v>4</v>
      </c>
    </row>
    <row r="35" spans="1:3" x14ac:dyDescent="0.3">
      <c r="A35" s="26" t="s">
        <v>7</v>
      </c>
      <c r="B35" s="26" t="s">
        <v>1</v>
      </c>
      <c r="C35" s="26">
        <v>2</v>
      </c>
    </row>
    <row r="36" spans="1:3" x14ac:dyDescent="0.3">
      <c r="A36" s="26" t="s">
        <v>7</v>
      </c>
      <c r="B36" s="26" t="s">
        <v>5</v>
      </c>
      <c r="C36" s="26">
        <v>1</v>
      </c>
    </row>
    <row r="37" spans="1:3" x14ac:dyDescent="0.3">
      <c r="A37" s="26" t="s">
        <v>8</v>
      </c>
      <c r="B37" s="26" t="s">
        <v>3</v>
      </c>
      <c r="C37" s="26">
        <v>4</v>
      </c>
    </row>
    <row r="38" spans="1:3" x14ac:dyDescent="0.3">
      <c r="A38" s="26" t="s">
        <v>8</v>
      </c>
      <c r="B38" s="26" t="s">
        <v>59</v>
      </c>
      <c r="C38" s="26">
        <v>2</v>
      </c>
    </row>
    <row r="39" spans="1:3" x14ac:dyDescent="0.3">
      <c r="A39" s="26" t="s">
        <v>8</v>
      </c>
      <c r="B39" s="26" t="s">
        <v>2</v>
      </c>
      <c r="C39" s="26">
        <v>1</v>
      </c>
    </row>
    <row r="40" spans="1:3" x14ac:dyDescent="0.3">
      <c r="A40" s="26" t="s">
        <v>47</v>
      </c>
      <c r="B40" s="26" t="s">
        <v>3</v>
      </c>
      <c r="C40" s="26">
        <v>1</v>
      </c>
    </row>
    <row r="41" spans="1:3" x14ac:dyDescent="0.3">
      <c r="A41" s="26" t="s">
        <v>47</v>
      </c>
      <c r="B41" s="26" t="s">
        <v>1</v>
      </c>
      <c r="C41" s="26">
        <v>2</v>
      </c>
    </row>
    <row r="42" spans="1:3" x14ac:dyDescent="0.3">
      <c r="A42" s="26" t="s">
        <v>47</v>
      </c>
      <c r="B42" s="26" t="s">
        <v>5</v>
      </c>
      <c r="C42" s="26">
        <v>4</v>
      </c>
    </row>
    <row r="43" spans="1:3" x14ac:dyDescent="0.3">
      <c r="A43" s="26" t="s">
        <v>48</v>
      </c>
      <c r="B43" s="26" t="s">
        <v>3</v>
      </c>
      <c r="C43" s="26">
        <v>1</v>
      </c>
    </row>
    <row r="44" spans="1:3" x14ac:dyDescent="0.3">
      <c r="A44" s="26" t="s">
        <v>48</v>
      </c>
      <c r="B44" s="26" t="s">
        <v>1</v>
      </c>
      <c r="C44" s="26">
        <v>2</v>
      </c>
    </row>
    <row r="45" spans="1:3" x14ac:dyDescent="0.3">
      <c r="A45" s="26" t="s">
        <v>48</v>
      </c>
      <c r="B45" s="26" t="s">
        <v>5</v>
      </c>
      <c r="C45" s="26">
        <v>4</v>
      </c>
    </row>
    <row r="46" spans="1:3" x14ac:dyDescent="0.3">
      <c r="A46" s="26" t="s">
        <v>49</v>
      </c>
      <c r="B46" s="26" t="s">
        <v>3</v>
      </c>
      <c r="C46" s="26">
        <v>1</v>
      </c>
    </row>
    <row r="47" spans="1:3" x14ac:dyDescent="0.3">
      <c r="A47" s="26" t="s">
        <v>49</v>
      </c>
      <c r="B47" s="26" t="s">
        <v>1</v>
      </c>
      <c r="C47" s="26">
        <v>2</v>
      </c>
    </row>
    <row r="48" spans="1:3" x14ac:dyDescent="0.3">
      <c r="A48" s="26" t="s">
        <v>49</v>
      </c>
      <c r="B48" s="26" t="s">
        <v>5</v>
      </c>
      <c r="C48" s="26">
        <v>4</v>
      </c>
    </row>
    <row r="49" spans="1:3" x14ac:dyDescent="0.3">
      <c r="A49" s="26" t="s">
        <v>50</v>
      </c>
      <c r="B49" s="26" t="s">
        <v>3</v>
      </c>
      <c r="C49" s="26">
        <v>1</v>
      </c>
    </row>
    <row r="50" spans="1:3" x14ac:dyDescent="0.3">
      <c r="A50" s="26" t="s">
        <v>50</v>
      </c>
      <c r="B50" s="26" t="s">
        <v>1</v>
      </c>
      <c r="C50" s="26">
        <v>2</v>
      </c>
    </row>
    <row r="51" spans="1:3" x14ac:dyDescent="0.3">
      <c r="A51" s="26" t="s">
        <v>50</v>
      </c>
      <c r="B51" s="26" t="s">
        <v>5</v>
      </c>
      <c r="C51" s="26">
        <v>4</v>
      </c>
    </row>
    <row r="52" spans="1:3" x14ac:dyDescent="0.3">
      <c r="A52" s="26" t="s">
        <v>51</v>
      </c>
      <c r="B52" s="26" t="s">
        <v>3</v>
      </c>
      <c r="C52" s="26">
        <v>1</v>
      </c>
    </row>
    <row r="53" spans="1:3" x14ac:dyDescent="0.3">
      <c r="A53" s="26" t="s">
        <v>51</v>
      </c>
      <c r="B53" s="26" t="s">
        <v>1</v>
      </c>
      <c r="C53" s="26">
        <v>2</v>
      </c>
    </row>
    <row r="54" spans="1:3" x14ac:dyDescent="0.3">
      <c r="A54" s="26" t="s">
        <v>51</v>
      </c>
      <c r="B54" s="26" t="s">
        <v>5</v>
      </c>
      <c r="C54" s="26">
        <v>4</v>
      </c>
    </row>
    <row r="55" spans="1:3" x14ac:dyDescent="0.3">
      <c r="A55" s="26" t="s">
        <v>52</v>
      </c>
      <c r="B55" s="26" t="s">
        <v>3</v>
      </c>
      <c r="C55" s="26">
        <v>1</v>
      </c>
    </row>
    <row r="56" spans="1:3" x14ac:dyDescent="0.3">
      <c r="A56" s="26" t="s">
        <v>52</v>
      </c>
      <c r="B56" s="26" t="s">
        <v>1</v>
      </c>
      <c r="C56" s="26">
        <v>2</v>
      </c>
    </row>
    <row r="57" spans="1:3" x14ac:dyDescent="0.3">
      <c r="A57" s="26" t="s">
        <v>52</v>
      </c>
      <c r="B57" s="26" t="s">
        <v>5</v>
      </c>
      <c r="C57" s="26">
        <v>4</v>
      </c>
    </row>
    <row r="58" spans="1:3" x14ac:dyDescent="0.3">
      <c r="A58" s="3" t="s">
        <v>53</v>
      </c>
      <c r="B58" s="3" t="s">
        <v>11</v>
      </c>
      <c r="C58" s="3">
        <v>1</v>
      </c>
    </row>
    <row r="59" spans="1:3" x14ac:dyDescent="0.3">
      <c r="A59" s="3" t="s">
        <v>53</v>
      </c>
      <c r="B59" s="3" t="s">
        <v>59</v>
      </c>
      <c r="C59" s="3">
        <v>2</v>
      </c>
    </row>
    <row r="60" spans="1:3" x14ac:dyDescent="0.3">
      <c r="A60" s="3" t="s">
        <v>53</v>
      </c>
      <c r="B60" s="3" t="s">
        <v>60</v>
      </c>
      <c r="C60" s="3">
        <v>3</v>
      </c>
    </row>
    <row r="61" spans="1:3" x14ac:dyDescent="0.3">
      <c r="A61" s="3" t="s">
        <v>53</v>
      </c>
      <c r="B61" s="3" t="s">
        <v>5</v>
      </c>
      <c r="C61" s="3">
        <v>4</v>
      </c>
    </row>
    <row r="62" spans="1:3" x14ac:dyDescent="0.3">
      <c r="A62" s="3" t="s">
        <v>53</v>
      </c>
      <c r="B62" s="3" t="s">
        <v>61</v>
      </c>
      <c r="C62" s="3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ab7afd-3126-4b1b-881d-76e793e55142">
      <Terms xmlns="http://schemas.microsoft.com/office/infopath/2007/PartnerControls"/>
    </lcf76f155ced4ddcb4097134ff3c332f>
    <TaxCatchAll xmlns="be111944-c14c-44fb-9bac-2386c5d5bc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4CC452ECB9749A354B2D32EFD1F7C" ma:contentTypeVersion="13" ma:contentTypeDescription="Create a new document." ma:contentTypeScope="" ma:versionID="dc1af3aea0b257aa64c4b499d4beaa34">
  <xsd:schema xmlns:xsd="http://www.w3.org/2001/XMLSchema" xmlns:xs="http://www.w3.org/2001/XMLSchema" xmlns:p="http://schemas.microsoft.com/office/2006/metadata/properties" xmlns:ns2="11ab7afd-3126-4b1b-881d-76e793e55142" xmlns:ns3="be111944-c14c-44fb-9bac-2386c5d5bc63" targetNamespace="http://schemas.microsoft.com/office/2006/metadata/properties" ma:root="true" ma:fieldsID="dcde61431c1759a0bf625d303875b057" ns2:_="" ns3:_="">
    <xsd:import namespace="11ab7afd-3126-4b1b-881d-76e793e55142"/>
    <xsd:import namespace="be111944-c14c-44fb-9bac-2386c5d5b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b7afd-3126-4b1b-881d-76e793e55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2023d5b-eb23-425f-bd3e-f89b7317a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11944-c14c-44fb-9bac-2386c5d5bc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5266c52-eadd-498b-8081-92df52d31565}" ma:internalName="TaxCatchAll" ma:showField="CatchAllData" ma:web="be111944-c14c-44fb-9bac-2386c5d5bc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0A9D6-EE63-4A14-8734-1F268F44973D}">
  <ds:schemaRefs>
    <ds:schemaRef ds:uri="http://schemas.microsoft.com/office/2006/metadata/properties"/>
    <ds:schemaRef ds:uri="http://schemas.microsoft.com/office/infopath/2007/PartnerControls"/>
    <ds:schemaRef ds:uri="11ab7afd-3126-4b1b-881d-76e793e55142"/>
    <ds:schemaRef ds:uri="be111944-c14c-44fb-9bac-2386c5d5bc63"/>
  </ds:schemaRefs>
</ds:datastoreItem>
</file>

<file path=customXml/itemProps2.xml><?xml version="1.0" encoding="utf-8"?>
<ds:datastoreItem xmlns:ds="http://schemas.openxmlformats.org/officeDocument/2006/customXml" ds:itemID="{83C09DBE-7D44-4CF2-86B6-DB6028E15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ab7afd-3126-4b1b-881d-76e793e55142"/>
    <ds:schemaRef ds:uri="be111944-c14c-44fb-9bac-2386c5d5bc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2BA38D-6F80-4B86-BF92-D8AB718BE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CVSS3 Vector calculation</vt:lpstr>
      <vt:lpstr>CVSS4 Vector calculation</vt:lpstr>
      <vt:lpstr>Lookup</vt:lpstr>
    </vt:vector>
  </TitlesOfParts>
  <Company>PSA - MPET - ATS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Blomme</dc:creator>
  <cp:lastModifiedBy>Matthias Blomme</cp:lastModifiedBy>
  <dcterms:created xsi:type="dcterms:W3CDTF">2022-11-24T07:37:42Z</dcterms:created>
  <dcterms:modified xsi:type="dcterms:W3CDTF">2026-08-10T06:10:48Z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0x0101007264CC452ECB9749A354B2D32EFD1F7C</vt:lpwstr>
  </property>
</Properties>
</file>